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rson.silva\Downloads\"/>
    </mc:Choice>
  </mc:AlternateContent>
  <xr:revisionPtr revIDLastSave="0" documentId="13_ncr:1_{17D6CCAF-A9D8-4601-86F1-94C95168B26F}" xr6:coauthVersionLast="47" xr6:coauthVersionMax="47" xr10:uidLastSave="{00000000-0000-0000-0000-000000000000}"/>
  <bookViews>
    <workbookView xWindow="-24120" yWindow="-120" windowWidth="24240" windowHeight="13140" xr2:uid="{D9FF7230-91BA-A544-8A5A-3054F2DD43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1" l="1"/>
  <c r="E54" i="1"/>
  <c r="E55" i="1"/>
  <c r="E56" i="1"/>
  <c r="E57" i="1"/>
  <c r="E58" i="1"/>
  <c r="C52" i="1"/>
  <c r="C54" i="1"/>
  <c r="C55" i="1"/>
  <c r="C56" i="1"/>
  <c r="C57" i="1"/>
  <c r="C58" i="1"/>
  <c r="E41" i="1"/>
  <c r="E42" i="1"/>
  <c r="E43" i="1"/>
  <c r="E44" i="1"/>
  <c r="E45" i="1"/>
  <c r="E46" i="1"/>
  <c r="E47" i="1"/>
  <c r="E48" i="1"/>
  <c r="E49" i="1"/>
  <c r="E50" i="1"/>
  <c r="E51" i="1"/>
  <c r="C41" i="1"/>
  <c r="C42" i="1"/>
  <c r="C43" i="1"/>
  <c r="C44" i="1"/>
  <c r="C45" i="1"/>
  <c r="C46" i="1"/>
  <c r="C47" i="1"/>
  <c r="C48" i="1"/>
  <c r="C49" i="1"/>
  <c r="C50" i="1"/>
  <c r="C51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0" i="1"/>
  <c r="E17" i="1"/>
  <c r="C17" i="1"/>
  <c r="E5" i="1"/>
  <c r="E6" i="1"/>
  <c r="E7" i="1"/>
  <c r="E8" i="1"/>
  <c r="E10" i="1"/>
  <c r="E12" i="1"/>
  <c r="E13" i="1"/>
  <c r="E4" i="1"/>
  <c r="C5" i="1"/>
  <c r="C6" i="1"/>
  <c r="C7" i="1"/>
  <c r="C8" i="1"/>
  <c r="C10" i="1"/>
  <c r="C12" i="1"/>
  <c r="C13" i="1"/>
  <c r="C38" i="1"/>
  <c r="C40" i="1"/>
  <c r="C4" i="1"/>
  <c r="D59" i="1"/>
  <c r="E59" i="1" l="1"/>
  <c r="C59" i="1"/>
</calcChain>
</file>

<file path=xl/sharedStrings.xml><?xml version="1.0" encoding="utf-8"?>
<sst xmlns="http://schemas.openxmlformats.org/spreadsheetml/2006/main" count="68" uniqueCount="66">
  <si>
    <t>(horas)</t>
  </si>
  <si>
    <t>:(</t>
  </si>
  <si>
    <t>:|</t>
  </si>
  <si>
    <t>:)</t>
  </si>
  <si>
    <t>ID</t>
  </si>
  <si>
    <t>Atividade</t>
  </si>
  <si>
    <t>Otimista</t>
  </si>
  <si>
    <t>Realista</t>
  </si>
  <si>
    <t>Pessimista</t>
  </si>
  <si>
    <t>Certeza</t>
  </si>
  <si>
    <t>Descrição</t>
  </si>
  <si>
    <t>Levantamento e organização de requisitos</t>
  </si>
  <si>
    <t>Documento de Visão (DVS)</t>
  </si>
  <si>
    <t>Estimativa detalhada</t>
  </si>
  <si>
    <t>Criação do Kanban</t>
  </si>
  <si>
    <t>Preparação de Slides (por entrega)</t>
  </si>
  <si>
    <t>Banco de Dados</t>
  </si>
  <si>
    <t>Backend</t>
  </si>
  <si>
    <t>Frontend</t>
  </si>
  <si>
    <t>Estrutura base e layout</t>
  </si>
  <si>
    <t>Deploy e Integração</t>
  </si>
  <si>
    <t>Configuração CI/CD</t>
  </si>
  <si>
    <t>Deploy (frontend + backend + banco)</t>
  </si>
  <si>
    <t>Modelagem do diagrama ER e esquema relacional do banco</t>
  </si>
  <si>
    <t>Configuração do banco de dados (migrations, seeds e conexão)</t>
  </si>
  <si>
    <t>Estruturação da arquitetura da API backend (rotas, controllers, services)</t>
  </si>
  <si>
    <t>Configuração de CORS, padronização de retornos e tratamento de erros</t>
  </si>
  <si>
    <t>API: Modelagem e CRUD completo de Clientes</t>
  </si>
  <si>
    <t>API: Regras de validação de CPF, e-mail único e complexidade de senha</t>
  </si>
  <si>
    <t>API: Gestão de múltiplos endereços (Cobrança e Entrega) por cliente</t>
  </si>
  <si>
    <t>API: Gestão de múltiplos cartões de crédito vinculados ao cliente</t>
  </si>
  <si>
    <t>API: Fluxo de alteração de senha e inativação lógica de cliente</t>
  </si>
  <si>
    <t>Frontend: Integração das telas de Auto-cadastro e Minha Conta com a API</t>
  </si>
  <si>
    <t>Frontend: Integração da gestão de clientes no painel administrativo</t>
  </si>
  <si>
    <t>API: Modelagem de Produtos, Categorias e Grupos de Precificação</t>
  </si>
  <si>
    <t>API: CRUD de Produtos e cálculo de margem de lucro por grupo</t>
  </si>
  <si>
    <t>API: Regras de inativação de produtos com justificativa obrigatória</t>
  </si>
  <si>
    <t>Frontend: Integração do catálogo de peças, filtros e busca com API</t>
  </si>
  <si>
    <t>Frontend: Integração das telas administrativas de cadastro/edição de produtos</t>
  </si>
  <si>
    <t>API: Validação de estoque mínimo e baixa automática após venda</t>
  </si>
  <si>
    <t>Frontend: Integração da tela administrativa de controle e histórico de estoque</t>
  </si>
  <si>
    <t>Frontend: Integração do fluxo completo de Checkout (Endereços, Frete, Pagamento)</t>
  </si>
  <si>
    <t>Testes unitários e de integração das regras críticas (Checkout, Trocas e Estoque)</t>
  </si>
  <si>
    <t>Teste manual do fluxo ponta a ponta (cadastro até entrega e troca)</t>
  </si>
  <si>
    <t>API: Lógica de reserva temporária de estoque ao adicionar ao carrinho</t>
  </si>
  <si>
    <t>API: Job/Timer de liberação de estoque expirado (carrinho abandonado)</t>
  </si>
  <si>
    <t>API: Endpoint de cálculo de frete por CEP/região e prazo de entrega</t>
  </si>
  <si>
    <t>API: Validação matemática do fechamento da compra (Itens + Frete - Cupons = Cartões)</t>
  </si>
  <si>
    <t>API: Validação de cupom promocional e cupons de troca</t>
  </si>
  <si>
    <t>API: Regra de pagamento com múltiplos cartões</t>
  </si>
  <si>
    <t>API: Gravação transacional do pedido (snapshot de endereços, cartões e itens)</t>
  </si>
  <si>
    <t>API: Endpoints de listagem e detalhes de pedidos (Cliente e Admin)</t>
  </si>
  <si>
    <t>Frontend: Integração do histórico e detalhe do pedido do cliente</t>
  </si>
  <si>
    <t>Frontend: Integração da tela administrativa de alteração de status de pedidos</t>
  </si>
  <si>
    <t>Protótipos HTML</t>
  </si>
  <si>
    <t>Frontend: Integração das ações de troca na área do cliente e no painel admin</t>
  </si>
  <si>
    <t>Frontend: Integração dos filtros e renderização dinâmica dos gráficos de linha/barra</t>
  </si>
  <si>
    <t>Frontend: Integração do widget do Chatbot com a API e atalhos de compra rápida</t>
  </si>
  <si>
    <t>Documentação técnica, roteiro de testes e preparação da apresentação</t>
  </si>
  <si>
    <t>API: Solicitação de troca parcial ou total pelo cliente (apenas pedidos entregues)</t>
  </si>
  <si>
    <t>API: Fluxo admin de autorização/recusa e confirmação de recebimento de itens</t>
  </si>
  <si>
    <t>API: Geração automática de Cupom de Troca vinculado ao cliente após recebimento</t>
  </si>
  <si>
    <t>API: Query agregada de vendas por período e agrupamento por categoria/produto</t>
  </si>
  <si>
    <t>API: Endpoint parametrizado por data inicial, data final e tipo de análise</t>
  </si>
  <si>
    <t>API: Lógica de matching e busca inteligente de peças por modelo/ano do veículo</t>
  </si>
  <si>
    <t>Planejamento e Documentação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</si>
</sst>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3" borderId="0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8F7FF"/>
      <color rgb="FFFFD7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2412-8401-4F44-8DDD-33476696CC96}">
  <dimension ref="A1:I65"/>
  <sheetViews>
    <sheetView tabSelected="1" topLeftCell="A22" zoomScale="90" zoomScaleNormal="90" workbookViewId="0">
      <selection activeCell="C65" sqref="C65"/>
    </sheetView>
  </sheetViews>
  <sheetFormatPr defaultColWidth="10.875" defaultRowHeight="15.75" x14ac:dyDescent="0.25"/>
  <cols>
    <col min="1" max="1" width="3" style="2" customWidth="1"/>
    <col min="2" max="2" width="66.375" style="3" bestFit="1" customWidth="1"/>
    <col min="3" max="5" width="11.875" style="1" customWidth="1"/>
    <col min="6" max="6" width="3" style="1" customWidth="1"/>
    <col min="7" max="7" width="2.875" style="1" customWidth="1"/>
    <col min="8" max="8" width="3" style="1" customWidth="1"/>
    <col min="9" max="9" width="174.625" style="4" bestFit="1" customWidth="1"/>
    <col min="10" max="16384" width="10.875" style="3"/>
  </cols>
  <sheetData>
    <row r="1" spans="1:9" x14ac:dyDescent="0.25">
      <c r="B1" s="1"/>
      <c r="C1" s="1" t="s">
        <v>0</v>
      </c>
      <c r="D1" s="1" t="s">
        <v>0</v>
      </c>
      <c r="E1" s="1" t="s">
        <v>0</v>
      </c>
      <c r="F1" s="1" t="s">
        <v>1</v>
      </c>
      <c r="G1" s="1" t="s">
        <v>2</v>
      </c>
      <c r="H1" s="1" t="s">
        <v>3</v>
      </c>
    </row>
    <row r="2" spans="1:9" x14ac:dyDescent="0.25">
      <c r="A2" s="5" t="s">
        <v>4</v>
      </c>
      <c r="B2" s="15" t="s">
        <v>5</v>
      </c>
      <c r="C2" s="15" t="s">
        <v>6</v>
      </c>
      <c r="D2" s="15" t="s">
        <v>7</v>
      </c>
      <c r="E2" s="15" t="s">
        <v>8</v>
      </c>
      <c r="F2" s="16" t="s">
        <v>9</v>
      </c>
      <c r="G2" s="16"/>
      <c r="H2" s="16"/>
      <c r="I2" s="6" t="s">
        <v>10</v>
      </c>
    </row>
    <row r="3" spans="1:9" x14ac:dyDescent="0.25">
      <c r="A3" s="12"/>
      <c r="B3" s="13" t="s">
        <v>65</v>
      </c>
      <c r="C3" s="13"/>
      <c r="D3" s="13"/>
      <c r="E3" s="13"/>
      <c r="F3" s="13"/>
      <c r="G3" s="13"/>
      <c r="H3" s="13"/>
      <c r="I3" s="14"/>
    </row>
    <row r="4" spans="1:9" x14ac:dyDescent="0.25">
      <c r="A4" s="2">
        <v>1</v>
      </c>
      <c r="B4" s="3" t="s">
        <v>11</v>
      </c>
      <c r="C4">
        <f>D4/2</f>
        <v>4</v>
      </c>
      <c r="D4">
        <v>8</v>
      </c>
      <c r="E4">
        <f>D4*1.5</f>
        <v>12</v>
      </c>
    </row>
    <row r="5" spans="1:9" x14ac:dyDescent="0.25">
      <c r="A5" s="2">
        <v>2</v>
      </c>
      <c r="B5" s="3" t="s">
        <v>12</v>
      </c>
      <c r="C5">
        <f t="shared" ref="C5:C58" si="0">D5/2</f>
        <v>4</v>
      </c>
      <c r="D5">
        <v>8</v>
      </c>
      <c r="E5">
        <f t="shared" ref="E5:E44" si="1">D5*1.5</f>
        <v>12</v>
      </c>
    </row>
    <row r="6" spans="1:9" x14ac:dyDescent="0.25">
      <c r="A6" s="2">
        <v>4</v>
      </c>
      <c r="B6" s="3" t="s">
        <v>13</v>
      </c>
      <c r="C6">
        <f t="shared" si="0"/>
        <v>2</v>
      </c>
      <c r="D6">
        <v>4</v>
      </c>
      <c r="E6">
        <f t="shared" si="1"/>
        <v>6</v>
      </c>
    </row>
    <row r="7" spans="1:9" x14ac:dyDescent="0.25">
      <c r="A7" s="2">
        <v>5</v>
      </c>
      <c r="B7" s="3" t="s">
        <v>14</v>
      </c>
      <c r="C7">
        <f t="shared" si="0"/>
        <v>1</v>
      </c>
      <c r="D7">
        <v>2</v>
      </c>
      <c r="E7">
        <f t="shared" si="1"/>
        <v>3</v>
      </c>
    </row>
    <row r="8" spans="1:9" x14ac:dyDescent="0.25">
      <c r="A8" s="2">
        <v>6</v>
      </c>
      <c r="B8" s="3" t="s">
        <v>15</v>
      </c>
      <c r="C8">
        <f t="shared" si="0"/>
        <v>4</v>
      </c>
      <c r="D8">
        <v>8</v>
      </c>
      <c r="E8">
        <f t="shared" si="1"/>
        <v>12</v>
      </c>
    </row>
    <row r="9" spans="1:9" x14ac:dyDescent="0.25">
      <c r="A9" s="12"/>
      <c r="B9" s="13" t="s">
        <v>16</v>
      </c>
      <c r="C9" s="13"/>
      <c r="D9" s="13"/>
      <c r="E9" s="13"/>
      <c r="F9" s="13"/>
      <c r="G9" s="13"/>
      <c r="H9" s="13"/>
      <c r="I9" s="14"/>
    </row>
    <row r="10" spans="1:9" x14ac:dyDescent="0.25">
      <c r="A10" s="2">
        <v>1</v>
      </c>
      <c r="B10" t="s">
        <v>23</v>
      </c>
      <c r="C10">
        <f t="shared" si="0"/>
        <v>3.5</v>
      </c>
      <c r="D10">
        <v>7</v>
      </c>
      <c r="E10">
        <f t="shared" si="1"/>
        <v>10.5</v>
      </c>
    </row>
    <row r="11" spans="1:9" x14ac:dyDescent="0.25">
      <c r="A11" s="2">
        <v>2</v>
      </c>
      <c r="B11" t="s">
        <v>26</v>
      </c>
      <c r="C11"/>
      <c r="D11"/>
      <c r="E11"/>
    </row>
    <row r="12" spans="1:9" x14ac:dyDescent="0.25">
      <c r="A12" s="2">
        <v>3</v>
      </c>
      <c r="B12" t="s">
        <v>24</v>
      </c>
      <c r="C12">
        <f t="shared" si="0"/>
        <v>3</v>
      </c>
      <c r="D12">
        <v>6</v>
      </c>
      <c r="E12">
        <f t="shared" si="1"/>
        <v>9</v>
      </c>
    </row>
    <row r="13" spans="1:9" x14ac:dyDescent="0.25">
      <c r="A13" s="2">
        <v>4</v>
      </c>
      <c r="B13" t="s">
        <v>25</v>
      </c>
      <c r="C13">
        <f t="shared" si="0"/>
        <v>2</v>
      </c>
      <c r="D13">
        <v>4</v>
      </c>
      <c r="E13">
        <f t="shared" si="1"/>
        <v>6</v>
      </c>
    </row>
    <row r="14" spans="1:9" x14ac:dyDescent="0.25">
      <c r="A14" s="12"/>
      <c r="B14" s="13" t="s">
        <v>17</v>
      </c>
      <c r="C14" s="13"/>
      <c r="D14" s="13"/>
      <c r="E14" s="13"/>
      <c r="F14" s="13"/>
      <c r="G14" s="13"/>
      <c r="H14" s="13"/>
      <c r="I14" s="14"/>
    </row>
    <row r="15" spans="1:9" x14ac:dyDescent="0.25">
      <c r="A15" s="12">
        <v>1</v>
      </c>
      <c r="B15" t="s">
        <v>27</v>
      </c>
      <c r="C15" s="13"/>
      <c r="D15" s="13"/>
      <c r="E15" s="13"/>
      <c r="F15" s="13"/>
      <c r="G15" s="13"/>
      <c r="H15" s="13"/>
      <c r="I15" s="14"/>
    </row>
    <row r="16" spans="1:9" x14ac:dyDescent="0.25">
      <c r="A16" s="12">
        <v>2</v>
      </c>
      <c r="B16" t="s">
        <v>28</v>
      </c>
      <c r="C16" s="13"/>
      <c r="D16" s="13"/>
      <c r="E16" s="13"/>
      <c r="F16" s="13"/>
      <c r="G16" s="13"/>
      <c r="H16" s="13"/>
      <c r="I16" s="14"/>
    </row>
    <row r="17" spans="1:5" x14ac:dyDescent="0.25">
      <c r="A17" s="12">
        <v>3</v>
      </c>
      <c r="B17" t="s">
        <v>29</v>
      </c>
      <c r="C17">
        <f>D17/2</f>
        <v>2.5</v>
      </c>
      <c r="D17">
        <v>5</v>
      </c>
      <c r="E17">
        <f>D17*1.5</f>
        <v>7.5</v>
      </c>
    </row>
    <row r="18" spans="1:5" x14ac:dyDescent="0.25">
      <c r="A18" s="12">
        <v>4</v>
      </c>
      <c r="B18" t="s">
        <v>30</v>
      </c>
      <c r="C18">
        <f t="shared" ref="C18:C37" si="2">D18/2</f>
        <v>4.5</v>
      </c>
      <c r="D18">
        <v>9</v>
      </c>
      <c r="E18">
        <f t="shared" ref="E18:E58" si="3">D18*1.5</f>
        <v>13.5</v>
      </c>
    </row>
    <row r="19" spans="1:5" x14ac:dyDescent="0.25">
      <c r="A19" s="12">
        <v>5</v>
      </c>
      <c r="B19" t="s">
        <v>31</v>
      </c>
      <c r="C19">
        <f t="shared" si="2"/>
        <v>0.5</v>
      </c>
      <c r="D19">
        <v>1</v>
      </c>
      <c r="E19">
        <f t="shared" si="3"/>
        <v>1.5</v>
      </c>
    </row>
    <row r="20" spans="1:5" x14ac:dyDescent="0.25">
      <c r="A20" s="12">
        <v>6</v>
      </c>
      <c r="B20" t="s">
        <v>44</v>
      </c>
      <c r="C20">
        <f t="shared" si="2"/>
        <v>3</v>
      </c>
      <c r="D20">
        <v>6</v>
      </c>
      <c r="E20">
        <f t="shared" si="3"/>
        <v>9</v>
      </c>
    </row>
    <row r="21" spans="1:5" x14ac:dyDescent="0.25">
      <c r="A21" s="12">
        <v>7</v>
      </c>
      <c r="B21" t="s">
        <v>45</v>
      </c>
      <c r="C21">
        <f t="shared" si="2"/>
        <v>0.5</v>
      </c>
      <c r="D21">
        <v>1</v>
      </c>
      <c r="E21">
        <f t="shared" si="3"/>
        <v>1.5</v>
      </c>
    </row>
    <row r="22" spans="1:5" x14ac:dyDescent="0.25">
      <c r="A22" s="12">
        <v>8</v>
      </c>
      <c r="B22" t="s">
        <v>34</v>
      </c>
      <c r="C22">
        <f t="shared" si="2"/>
        <v>0.5</v>
      </c>
      <c r="D22">
        <v>1</v>
      </c>
      <c r="E22">
        <f t="shared" si="3"/>
        <v>1.5</v>
      </c>
    </row>
    <row r="23" spans="1:5" x14ac:dyDescent="0.25">
      <c r="A23" s="12">
        <v>9</v>
      </c>
      <c r="B23" t="s">
        <v>35</v>
      </c>
      <c r="C23">
        <f t="shared" si="2"/>
        <v>0.5</v>
      </c>
      <c r="D23">
        <v>1</v>
      </c>
      <c r="E23">
        <f t="shared" si="3"/>
        <v>1.5</v>
      </c>
    </row>
    <row r="24" spans="1:5" x14ac:dyDescent="0.25">
      <c r="A24" s="12">
        <v>10</v>
      </c>
      <c r="B24" t="s">
        <v>36</v>
      </c>
      <c r="C24">
        <f t="shared" si="2"/>
        <v>3</v>
      </c>
      <c r="D24">
        <v>6</v>
      </c>
      <c r="E24">
        <f t="shared" si="3"/>
        <v>9</v>
      </c>
    </row>
    <row r="25" spans="1:5" x14ac:dyDescent="0.25">
      <c r="A25" s="12">
        <v>11</v>
      </c>
      <c r="B25" t="s">
        <v>46</v>
      </c>
      <c r="C25">
        <f t="shared" si="2"/>
        <v>0.5</v>
      </c>
      <c r="D25">
        <v>1</v>
      </c>
      <c r="E25">
        <f t="shared" si="3"/>
        <v>1.5</v>
      </c>
    </row>
    <row r="26" spans="1:5" x14ac:dyDescent="0.25">
      <c r="A26" s="12">
        <v>12</v>
      </c>
      <c r="B26" t="s">
        <v>48</v>
      </c>
      <c r="C26">
        <f t="shared" si="2"/>
        <v>0.5</v>
      </c>
      <c r="D26">
        <v>1</v>
      </c>
      <c r="E26">
        <f t="shared" si="3"/>
        <v>1.5</v>
      </c>
    </row>
    <row r="27" spans="1:5" x14ac:dyDescent="0.25">
      <c r="A27" s="12">
        <v>13</v>
      </c>
      <c r="B27" t="s">
        <v>49</v>
      </c>
      <c r="C27">
        <f t="shared" si="2"/>
        <v>9.5</v>
      </c>
      <c r="D27">
        <v>19</v>
      </c>
      <c r="E27">
        <f t="shared" si="3"/>
        <v>28.5</v>
      </c>
    </row>
    <row r="28" spans="1:5" x14ac:dyDescent="0.25">
      <c r="A28" s="12">
        <v>14</v>
      </c>
      <c r="B28" t="s">
        <v>47</v>
      </c>
      <c r="C28">
        <f t="shared" si="2"/>
        <v>6.5</v>
      </c>
      <c r="D28">
        <v>13</v>
      </c>
      <c r="E28">
        <f t="shared" si="3"/>
        <v>19.5</v>
      </c>
    </row>
    <row r="29" spans="1:5" x14ac:dyDescent="0.25">
      <c r="A29" s="12">
        <v>15</v>
      </c>
      <c r="B29" t="s">
        <v>39</v>
      </c>
      <c r="C29">
        <f t="shared" si="2"/>
        <v>5</v>
      </c>
      <c r="D29">
        <v>10</v>
      </c>
      <c r="E29">
        <f t="shared" si="3"/>
        <v>15</v>
      </c>
    </row>
    <row r="30" spans="1:5" x14ac:dyDescent="0.25">
      <c r="A30" s="12">
        <v>16</v>
      </c>
      <c r="B30" t="s">
        <v>50</v>
      </c>
      <c r="C30">
        <f t="shared" si="2"/>
        <v>1.75</v>
      </c>
      <c r="D30">
        <v>3.5</v>
      </c>
      <c r="E30">
        <f t="shared" si="3"/>
        <v>5.25</v>
      </c>
    </row>
    <row r="31" spans="1:5" x14ac:dyDescent="0.25">
      <c r="A31" s="12">
        <v>17</v>
      </c>
      <c r="B31" t="s">
        <v>59</v>
      </c>
      <c r="C31">
        <f t="shared" si="2"/>
        <v>1.25</v>
      </c>
      <c r="D31">
        <v>2.5</v>
      </c>
      <c r="E31">
        <f t="shared" si="3"/>
        <v>3.75</v>
      </c>
    </row>
    <row r="32" spans="1:5" x14ac:dyDescent="0.25">
      <c r="A32" s="12">
        <v>18</v>
      </c>
      <c r="B32" t="s">
        <v>60</v>
      </c>
      <c r="C32">
        <f t="shared" si="2"/>
        <v>1</v>
      </c>
      <c r="D32">
        <v>2</v>
      </c>
      <c r="E32">
        <f t="shared" si="3"/>
        <v>3</v>
      </c>
    </row>
    <row r="33" spans="1:9" x14ac:dyDescent="0.25">
      <c r="A33" s="12">
        <v>19</v>
      </c>
      <c r="B33" t="s">
        <v>61</v>
      </c>
      <c r="C33">
        <f t="shared" si="2"/>
        <v>5.5</v>
      </c>
      <c r="D33">
        <v>11</v>
      </c>
      <c r="E33">
        <f t="shared" si="3"/>
        <v>16.5</v>
      </c>
    </row>
    <row r="34" spans="1:9" x14ac:dyDescent="0.25">
      <c r="A34" s="12">
        <v>20</v>
      </c>
      <c r="B34" t="s">
        <v>62</v>
      </c>
      <c r="C34">
        <f t="shared" si="2"/>
        <v>0</v>
      </c>
      <c r="D34" s="13"/>
      <c r="E34">
        <f t="shared" si="3"/>
        <v>0</v>
      </c>
      <c r="F34" s="13"/>
      <c r="G34" s="13"/>
      <c r="H34" s="13"/>
      <c r="I34" s="14"/>
    </row>
    <row r="35" spans="1:9" x14ac:dyDescent="0.25">
      <c r="A35" s="12">
        <v>21</v>
      </c>
      <c r="B35" t="s">
        <v>63</v>
      </c>
      <c r="C35">
        <f t="shared" si="2"/>
        <v>4.5</v>
      </c>
      <c r="D35">
        <v>9</v>
      </c>
      <c r="E35">
        <f t="shared" si="3"/>
        <v>13.5</v>
      </c>
    </row>
    <row r="36" spans="1:9" x14ac:dyDescent="0.25">
      <c r="A36" s="12">
        <v>22</v>
      </c>
      <c r="B36" t="s">
        <v>64</v>
      </c>
      <c r="C36">
        <f t="shared" si="2"/>
        <v>4.5</v>
      </c>
      <c r="D36">
        <v>9</v>
      </c>
      <c r="E36">
        <f t="shared" si="3"/>
        <v>13.5</v>
      </c>
    </row>
    <row r="37" spans="1:9" x14ac:dyDescent="0.25">
      <c r="A37" s="12">
        <v>23</v>
      </c>
      <c r="B37" t="s">
        <v>51</v>
      </c>
      <c r="C37">
        <f t="shared" si="2"/>
        <v>5.5</v>
      </c>
      <c r="D37">
        <v>11</v>
      </c>
      <c r="E37">
        <f t="shared" si="3"/>
        <v>16.5</v>
      </c>
    </row>
    <row r="38" spans="1:9" x14ac:dyDescent="0.25">
      <c r="C38">
        <f t="shared" si="0"/>
        <v>5.5</v>
      </c>
      <c r="D38">
        <v>11</v>
      </c>
      <c r="E38">
        <f t="shared" si="3"/>
        <v>16.5</v>
      </c>
    </row>
    <row r="39" spans="1:9" x14ac:dyDescent="0.25">
      <c r="B39" s="13" t="s">
        <v>18</v>
      </c>
      <c r="C39"/>
      <c r="D39"/>
      <c r="E39"/>
    </row>
    <row r="40" spans="1:9" x14ac:dyDescent="0.25">
      <c r="A40" s="2">
        <v>1</v>
      </c>
      <c r="B40" s="3" t="s">
        <v>54</v>
      </c>
      <c r="C40">
        <f t="shared" si="0"/>
        <v>6.5</v>
      </c>
      <c r="D40">
        <v>13</v>
      </c>
      <c r="E40">
        <f t="shared" si="3"/>
        <v>19.5</v>
      </c>
    </row>
    <row r="41" spans="1:9" x14ac:dyDescent="0.25">
      <c r="A41" s="2">
        <v>2</v>
      </c>
      <c r="B41" s="3" t="s">
        <v>19</v>
      </c>
      <c r="C41">
        <f t="shared" si="0"/>
        <v>6.5</v>
      </c>
      <c r="D41">
        <v>13</v>
      </c>
      <c r="E41">
        <f t="shared" si="3"/>
        <v>19.5</v>
      </c>
    </row>
    <row r="42" spans="1:9" x14ac:dyDescent="0.25">
      <c r="A42" s="2">
        <v>3</v>
      </c>
      <c r="B42" t="s">
        <v>40</v>
      </c>
      <c r="C42">
        <f t="shared" si="0"/>
        <v>0</v>
      </c>
      <c r="D42" s="13"/>
      <c r="E42">
        <f t="shared" si="3"/>
        <v>0</v>
      </c>
      <c r="F42" s="13"/>
      <c r="G42" s="13"/>
      <c r="H42" s="13"/>
      <c r="I42" s="14"/>
    </row>
    <row r="43" spans="1:9" x14ac:dyDescent="0.25">
      <c r="A43" s="2">
        <v>4</v>
      </c>
      <c r="B43" t="s">
        <v>41</v>
      </c>
      <c r="C43">
        <f t="shared" si="0"/>
        <v>1</v>
      </c>
      <c r="D43">
        <v>2</v>
      </c>
      <c r="E43">
        <f t="shared" si="3"/>
        <v>3</v>
      </c>
    </row>
    <row r="44" spans="1:9" x14ac:dyDescent="0.25">
      <c r="A44" s="2">
        <v>5</v>
      </c>
      <c r="B44" t="s">
        <v>32</v>
      </c>
      <c r="C44">
        <f t="shared" si="0"/>
        <v>1</v>
      </c>
      <c r="D44">
        <v>2</v>
      </c>
      <c r="E44">
        <f t="shared" si="3"/>
        <v>3</v>
      </c>
    </row>
    <row r="45" spans="1:9" x14ac:dyDescent="0.25">
      <c r="A45" s="2">
        <v>6</v>
      </c>
      <c r="B45" t="s">
        <v>33</v>
      </c>
      <c r="C45">
        <f t="shared" si="0"/>
        <v>0</v>
      </c>
      <c r="D45" s="20"/>
      <c r="E45">
        <f t="shared" si="3"/>
        <v>0</v>
      </c>
    </row>
    <row r="46" spans="1:9" x14ac:dyDescent="0.25">
      <c r="A46" s="2">
        <v>7</v>
      </c>
      <c r="B46" t="s">
        <v>37</v>
      </c>
      <c r="C46">
        <f t="shared" si="0"/>
        <v>0</v>
      </c>
      <c r="D46" s="20"/>
      <c r="E46">
        <f t="shared" si="3"/>
        <v>0</v>
      </c>
      <c r="F46" s="19"/>
      <c r="G46" s="19"/>
    </row>
    <row r="47" spans="1:9" s="7" customFormat="1" x14ac:dyDescent="0.25">
      <c r="A47" s="2">
        <v>8</v>
      </c>
      <c r="B47" t="s">
        <v>52</v>
      </c>
      <c r="C47">
        <f t="shared" si="0"/>
        <v>0</v>
      </c>
      <c r="D47" s="21"/>
      <c r="E47">
        <f t="shared" si="3"/>
        <v>0</v>
      </c>
      <c r="F47" s="17"/>
      <c r="G47" s="17"/>
      <c r="H47" s="17"/>
      <c r="I47" s="18"/>
    </row>
    <row r="48" spans="1:9" x14ac:dyDescent="0.25">
      <c r="A48" s="2">
        <v>9</v>
      </c>
      <c r="B48" t="s">
        <v>53</v>
      </c>
      <c r="C48">
        <f t="shared" si="0"/>
        <v>0</v>
      </c>
      <c r="D48" s="19"/>
      <c r="E48">
        <f t="shared" si="3"/>
        <v>0</v>
      </c>
      <c r="F48" s="19"/>
      <c r="G48" s="19"/>
    </row>
    <row r="49" spans="1:5" x14ac:dyDescent="0.25">
      <c r="A49" s="2">
        <v>10</v>
      </c>
      <c r="B49" t="s">
        <v>55</v>
      </c>
      <c r="C49">
        <f t="shared" si="0"/>
        <v>0</v>
      </c>
      <c r="D49" s="19"/>
      <c r="E49">
        <f t="shared" si="3"/>
        <v>0</v>
      </c>
    </row>
    <row r="50" spans="1:5" x14ac:dyDescent="0.25">
      <c r="A50" s="2">
        <v>11</v>
      </c>
      <c r="B50" t="s">
        <v>56</v>
      </c>
      <c r="C50">
        <f t="shared" si="0"/>
        <v>0</v>
      </c>
      <c r="E50">
        <f t="shared" si="3"/>
        <v>0</v>
      </c>
    </row>
    <row r="51" spans="1:5" x14ac:dyDescent="0.25">
      <c r="A51" s="2">
        <v>12</v>
      </c>
      <c r="B51" t="s">
        <v>57</v>
      </c>
      <c r="C51">
        <f t="shared" si="0"/>
        <v>0</v>
      </c>
      <c r="E51">
        <f t="shared" si="3"/>
        <v>0</v>
      </c>
    </row>
    <row r="52" spans="1:5" x14ac:dyDescent="0.25">
      <c r="A52" s="2">
        <v>13</v>
      </c>
      <c r="B52" t="s">
        <v>38</v>
      </c>
      <c r="C52">
        <f t="shared" si="0"/>
        <v>0</v>
      </c>
      <c r="E52">
        <f t="shared" si="3"/>
        <v>0</v>
      </c>
    </row>
    <row r="53" spans="1:5" x14ac:dyDescent="0.25">
      <c r="B53" s="13" t="s">
        <v>20</v>
      </c>
      <c r="C53"/>
      <c r="E53"/>
    </row>
    <row r="54" spans="1:5" x14ac:dyDescent="0.25">
      <c r="A54" s="2">
        <v>1</v>
      </c>
      <c r="B54" t="s">
        <v>42</v>
      </c>
      <c r="C54">
        <f t="shared" si="0"/>
        <v>0</v>
      </c>
      <c r="E54">
        <f t="shared" si="3"/>
        <v>0</v>
      </c>
    </row>
    <row r="55" spans="1:5" x14ac:dyDescent="0.25">
      <c r="A55" s="2">
        <v>2</v>
      </c>
      <c r="B55" t="s">
        <v>58</v>
      </c>
      <c r="C55">
        <f t="shared" si="0"/>
        <v>0</v>
      </c>
      <c r="E55">
        <f t="shared" si="3"/>
        <v>0</v>
      </c>
    </row>
    <row r="56" spans="1:5" x14ac:dyDescent="0.25">
      <c r="A56" s="2">
        <v>3</v>
      </c>
      <c r="B56" t="s">
        <v>43</v>
      </c>
      <c r="C56">
        <f t="shared" si="0"/>
        <v>0</v>
      </c>
      <c r="E56">
        <f t="shared" si="3"/>
        <v>0</v>
      </c>
    </row>
    <row r="57" spans="1:5" x14ac:dyDescent="0.25">
      <c r="A57" s="2">
        <v>4</v>
      </c>
      <c r="B57" s="3" t="s">
        <v>21</v>
      </c>
      <c r="C57">
        <f t="shared" si="0"/>
        <v>0</v>
      </c>
      <c r="E57">
        <f t="shared" si="3"/>
        <v>0</v>
      </c>
    </row>
    <row r="58" spans="1:5" x14ac:dyDescent="0.25">
      <c r="A58" s="2">
        <v>5</v>
      </c>
      <c r="B58" s="3" t="s">
        <v>22</v>
      </c>
      <c r="C58">
        <f t="shared" si="0"/>
        <v>0</v>
      </c>
      <c r="E58">
        <f t="shared" si="3"/>
        <v>0</v>
      </c>
    </row>
    <row r="59" spans="1:5" x14ac:dyDescent="0.25">
      <c r="B59" s="7"/>
      <c r="C59" s="11">
        <f>SUM(C4:C28)</f>
        <v>55.5</v>
      </c>
      <c r="D59" s="8">
        <f>SUM(D4:D28)</f>
        <v>111</v>
      </c>
      <c r="E59" s="10">
        <f>SUM(E4:E28)</f>
        <v>166.5</v>
      </c>
    </row>
    <row r="62" spans="1:5" x14ac:dyDescent="0.25">
      <c r="B62" s="9"/>
    </row>
    <row r="63" spans="1:5" x14ac:dyDescent="0.25">
      <c r="B63" s="9"/>
    </row>
    <row r="64" spans="1:5" x14ac:dyDescent="0.25">
      <c r="B64" s="9"/>
    </row>
    <row r="65" spans="2:2" x14ac:dyDescent="0.25">
      <c r="B65" s="9"/>
    </row>
  </sheetData>
  <mergeCells count="1">
    <mergeCell ref="F2:H2"/>
  </mergeCells>
  <conditionalFormatting sqref="C14:C16 D48:D51 C59:E1048576 D53:D58">
    <cfRule type="colorScale" priority="5">
      <colorScale>
        <cfvo type="num" val="8"/>
        <cfvo type="num" val="40"/>
        <color theme="0"/>
        <color theme="7" tint="0.59999389629810485"/>
      </colorScale>
    </cfRule>
  </conditionalFormatting>
  <conditionalFormatting sqref="C1:E3">
    <cfRule type="colorScale" priority="21">
      <colorScale>
        <cfvo type="num" val="8"/>
        <cfvo type="num" val="40"/>
        <color theme="0"/>
        <color theme="7" tint="0.59999389629810485"/>
      </colorScale>
    </cfRule>
  </conditionalFormatting>
  <conditionalFormatting sqref="C9:E9">
    <cfRule type="colorScale" priority="17">
      <colorScale>
        <cfvo type="num" val="8"/>
        <cfvo type="num" val="40"/>
        <color theme="0"/>
        <color theme="7" tint="0.59999389629810485"/>
      </colorScale>
    </cfRule>
  </conditionalFormatting>
  <conditionalFormatting sqref="D14:D16">
    <cfRule type="colorScale" priority="9">
      <colorScale>
        <cfvo type="num" val="8"/>
        <cfvo type="num" val="40"/>
        <color theme="0"/>
        <color theme="7" tint="0.59999389629810485"/>
      </colorScale>
    </cfRule>
  </conditionalFormatting>
  <conditionalFormatting sqref="D34">
    <cfRule type="colorScale" priority="8">
      <colorScale>
        <cfvo type="num" val="8"/>
        <cfvo type="num" val="40"/>
        <color theme="0"/>
        <color theme="7" tint="0.59999389629810485"/>
      </colorScale>
    </cfRule>
  </conditionalFormatting>
  <conditionalFormatting sqref="D42">
    <cfRule type="colorScale" priority="7">
      <colorScale>
        <cfvo type="num" val="8"/>
        <cfvo type="num" val="40"/>
        <color theme="0"/>
        <color theme="7" tint="0.59999389629810485"/>
      </colorScale>
    </cfRule>
  </conditionalFormatting>
  <conditionalFormatting sqref="E14:E16">
    <cfRule type="colorScale" priority="6">
      <colorScale>
        <cfvo type="num" val="8"/>
        <cfvo type="num" val="40"/>
        <color theme="0"/>
        <color theme="7" tint="0.59999389629810485"/>
      </colorScale>
    </cfRule>
  </conditionalFormatting>
  <conditionalFormatting sqref="F1:H1048576">
    <cfRule type="containsText" dxfId="2" priority="10" operator="containsText" text=":)">
      <formula>NOT(ISERROR(SEARCH(":)",F1)))</formula>
    </cfRule>
    <cfRule type="containsText" dxfId="1" priority="11" operator="containsText" text=":|">
      <formula>NOT(ISERROR(SEARCH(":|",F1)))</formula>
    </cfRule>
    <cfRule type="containsText" dxfId="0" priority="12" operator="containsText" text=":(">
      <formula>NOT(ISERROR(SEARCH(":(",F1)))</formula>
    </cfRule>
  </conditionalFormatting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702617105A1C46A236CE88808AA09E" ma:contentTypeVersion="1" ma:contentTypeDescription="Crie um novo documento." ma:contentTypeScope="" ma:versionID="327dc7b06af5e0d37dbe8fb6b5ba51b7">
  <xsd:schema xmlns:xsd="http://www.w3.org/2001/XMLSchema" xmlns:xs="http://www.w3.org/2001/XMLSchema" xmlns:p="http://schemas.microsoft.com/office/2006/metadata/properties" xmlns:ns2="11c35f85-f0fd-4761-914c-cb7770309fc5" targetNamespace="http://schemas.microsoft.com/office/2006/metadata/properties" ma:root="true" ma:fieldsID="2d5b465ebdacc7b4c0e745dd67204333" ns2:_="">
    <xsd:import namespace="11c35f85-f0fd-4761-914c-cb7770309fc5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35f85-f0fd-4761-914c-cb7770309fc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1c35f85-f0fd-4761-914c-cb7770309fc5" xsi:nil="true"/>
  </documentManagement>
</p:properties>
</file>

<file path=customXml/itemProps1.xml><?xml version="1.0" encoding="utf-8"?>
<ds:datastoreItem xmlns:ds="http://schemas.openxmlformats.org/officeDocument/2006/customXml" ds:itemID="{FB8C2D3F-B76A-4967-AF3F-606F347157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4A5B6E-F635-4BD5-85AA-A923B85A1E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c35f85-f0fd-4761-914c-cb7770309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1C989-04EE-48A5-BEA7-1FAFA55217B4}">
  <ds:schemaRefs>
    <ds:schemaRef ds:uri="http://schemas.microsoft.com/office/2006/metadata/properties"/>
    <ds:schemaRef ds:uri="http://schemas.microsoft.com/office/infopath/2007/PartnerControls"/>
    <ds:schemaRef ds:uri="11c35f85-f0fd-4761-914c-cb7770309f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Kenji Takahashi</dc:creator>
  <cp:keywords/>
  <dc:description/>
  <cp:lastModifiedBy>Eberson Rodrigo Matos da Silva</cp:lastModifiedBy>
  <cp:revision/>
  <dcterms:created xsi:type="dcterms:W3CDTF">2019-04-11T11:50:35Z</dcterms:created>
  <dcterms:modified xsi:type="dcterms:W3CDTF">2026-09-04T19:41:30Z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0x01010097702617105A1C46A236CE88808AA09E</vt:lpwstr>
  </property>
</Properties>
</file>